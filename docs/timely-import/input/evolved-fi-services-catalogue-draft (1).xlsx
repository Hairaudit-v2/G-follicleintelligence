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elo.EVOLVEDPCHOME\Downloads\"/>
    </mc:Choice>
  </mc:AlternateContent>
  <xr:revisionPtr revIDLastSave="0" documentId="13_ncr:1_{F4D4C2EF-8370-43EC-ADD6-B2C69E1EF6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rvices Catalogue" sheetId="1" r:id="rId1"/>
    <sheet name="Lookups" sheetId="2" r:id="rId2"/>
    <sheet name="Instruction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<sst xmlns="http://schemas.openxmlformats.org/spreadsheetml/2006/main" count="403" uniqueCount="131">
  <si>
    <t>Import?</t>
  </si>
  <si>
    <t>Service Name</t>
  </si>
  <si>
    <t>FI Category</t>
  </si>
  <si>
    <t>Booking Type</t>
  </si>
  <si>
    <t>Suggested Duration (mins)</t>
  </si>
  <si>
    <t>Base Price AUD</t>
  </si>
  <si>
    <t>GST Included?</t>
  </si>
  <si>
    <t>Colour</t>
  </si>
  <si>
    <t>Active?</t>
  </si>
  <si>
    <t>Bookable?</t>
  </si>
  <si>
    <t>Staff Type</t>
  </si>
  <si>
    <t>Patient-Facing Name</t>
  </si>
  <si>
    <t>Internal Notes</t>
  </si>
  <si>
    <t>Yes</t>
  </si>
  <si>
    <t>Hair Transplant Consultation</t>
  </si>
  <si>
    <t>Consultation</t>
  </si>
  <si>
    <t>consultation</t>
  </si>
  <si>
    <t>#2563EB</t>
  </si>
  <si>
    <t>Consultant / Trichologist</t>
  </si>
  <si>
    <t>Core face-to-face consultation for transplant assessment.</t>
  </si>
  <si>
    <t>Virtual Hair Transplant Consultation</t>
  </si>
  <si>
    <t>Zoom/telehealth consultation.</t>
  </si>
  <si>
    <t>Phone Consultation</t>
  </si>
  <si>
    <t>Consultant / Admin</t>
  </si>
  <si>
    <t>Initial phone consultation or short assessment.</t>
  </si>
  <si>
    <t>PRP / Mesotherapy Consultation</t>
  </si>
  <si>
    <t>Nurse / Trichologist</t>
  </si>
  <si>
    <t>For PRP, mesotherapy, exosomes, dutasteride pathway discussion.</t>
  </si>
  <si>
    <t>Trichological Examination</t>
  </si>
  <si>
    <t>Diagnostics</t>
  </si>
  <si>
    <t>#0F766E</t>
  </si>
  <si>
    <t>Trichologist</t>
  </si>
  <si>
    <t>Detailed scalp and hair-loss assessment.</t>
  </si>
  <si>
    <t>Blood Test Review</t>
  </si>
  <si>
    <t>Trichologist / Doctor</t>
  </si>
  <si>
    <t>Review bloods and treatment plan.</t>
  </si>
  <si>
    <t>Surgeon Pre-Surgery Consultation</t>
  </si>
  <si>
    <t>Doctor / Surgeon</t>
  </si>
  <si>
    <t>Pre-surgery review and surgical consent planning.</t>
  </si>
  <si>
    <t>1 Week Follow-Up</t>
  </si>
  <si>
    <t>Follow-up</t>
  </si>
  <si>
    <t>follow_up</t>
  </si>
  <si>
    <t>#7C3AED</t>
  </si>
  <si>
    <t>Nurse / Consultant</t>
  </si>
  <si>
    <t>Post-procedure wound/scab review.</t>
  </si>
  <si>
    <t>1 Month Follow-Up</t>
  </si>
  <si>
    <t>Early post-op or treatment review.</t>
  </si>
  <si>
    <t>3 Month Follow-Up</t>
  </si>
  <si>
    <t>Growth/treatment review.</t>
  </si>
  <si>
    <t>6 Month Follow-Up</t>
  </si>
  <si>
    <t>Midpoint review and photo comparison.</t>
  </si>
  <si>
    <t>9 Month Follow-Up</t>
  </si>
  <si>
    <t>Progress review where applicable.</t>
  </si>
  <si>
    <t>12 Month Follow-Up</t>
  </si>
  <si>
    <t>Final growth/result review.</t>
  </si>
  <si>
    <t>18 Month Follow-Up</t>
  </si>
  <si>
    <t>Extended review for slower growth or complex cases.</t>
  </si>
  <si>
    <t>PRP Single Session</t>
  </si>
  <si>
    <t>Treatment</t>
  </si>
  <si>
    <t>prp</t>
  </si>
  <si>
    <t>#DC2626</t>
  </si>
  <si>
    <t>Nurse</t>
  </si>
  <si>
    <t>Single scalp PRP treatment.</t>
  </si>
  <si>
    <t>PRP 3 Session Package</t>
  </si>
  <si>
    <t>Package item; consider whether bookable directly or sold as package only.</t>
  </si>
  <si>
    <t>PRP 6 Session Package</t>
  </si>
  <si>
    <t>Facial PRP</t>
  </si>
  <si>
    <t>facial_prp</t>
  </si>
  <si>
    <t>Facial regenerative PRP treatment.</t>
  </si>
  <si>
    <t>Exosome Therapy</t>
  </si>
  <si>
    <t>exosomes</t>
  </si>
  <si>
    <t>#EA580C</t>
  </si>
  <si>
    <t>Scalp exosome treatment.</t>
  </si>
  <si>
    <t>Mesotherapy Single Session</t>
  </si>
  <si>
    <t>mesotherapy</t>
  </si>
  <si>
    <t>Scalp mesotherapy treatment.</t>
  </si>
  <si>
    <t>Dutasteride Mesotherapy</t>
  </si>
  <si>
    <t>Nurse / Doctor</t>
  </si>
  <si>
    <t>Confirm prescribing/clinical governance before enabling patient-facing booking.</t>
  </si>
  <si>
    <t>LED Therapy</t>
  </si>
  <si>
    <t>led</t>
  </si>
  <si>
    <t>#059669</t>
  </si>
  <si>
    <t>Nurse / Assistant</t>
  </si>
  <si>
    <t>LED session.</t>
  </si>
  <si>
    <t>Hair Transplant Full Day</t>
  </si>
  <si>
    <t>Surgery</t>
  </si>
  <si>
    <t>surgery</t>
  </si>
  <si>
    <t>#111827</t>
  </si>
  <si>
    <t>No</t>
  </si>
  <si>
    <t>Doctor / Surgical Team</t>
  </si>
  <si>
    <t>Main full-day transplant session.</t>
  </si>
  <si>
    <t>Hair Transplant Two Day Session</t>
  </si>
  <si>
    <t>Two-day case; may be represented as two bookings in calendar.</t>
  </si>
  <si>
    <t>Small Hair Transplant Session</t>
  </si>
  <si>
    <t>Small correction / partial-day session.</t>
  </si>
  <si>
    <t>Eyebrow Transplant</t>
  </si>
  <si>
    <t>Dedicated eyebrow transplant service.</t>
  </si>
  <si>
    <t>Beard Transplant</t>
  </si>
  <si>
    <t>Dedicated beard / facial hair transplant service.</t>
  </si>
  <si>
    <t>Hair Transplant Repair Consultation</t>
  </si>
  <si>
    <t>Consultation for previous transplant repair.</t>
  </si>
  <si>
    <t>Hair Transplant Repair Surgery</t>
  </si>
  <si>
    <t>Repair or density correction surgery.</t>
  </si>
  <si>
    <t>Review</t>
  </si>
  <si>
    <t>Deposit / Booking Fee</t>
  </si>
  <si>
    <t>Other</t>
  </si>
  <si>
    <t>#64748B</t>
  </si>
  <si>
    <t>Admin</t>
  </si>
  <si>
    <t>Financial item only; do not import as bookable service unless needed.</t>
  </si>
  <si>
    <t>Retail Product Sale</t>
  </si>
  <si>
    <t>Do not import into fi_services unless retail stock is handled in FI.</t>
  </si>
  <si>
    <t>Yes/No</t>
  </si>
  <si>
    <t>Import Status</t>
  </si>
  <si>
    <t>diagnostics</t>
  </si>
  <si>
    <t>Doctor / Nurse</t>
  </si>
  <si>
    <t>Evolved Hair — FI Services Catalogue Draft</t>
  </si>
  <si>
    <t>How to use this file</t>
  </si>
  <si>
    <t>1. Edit Service Name, duration, Base Price AUD, Active?, Bookable?, Staff Type and notes as needed.</t>
  </si>
  <si>
    <t>2. Keep Import? = Yes for services you want imported into FI. Use Review or No for items to hold back.</t>
  </si>
  <si>
    <t>3. Booking Type should be kept broad and system-friendly. It is used for calendar/booking fallback logic.</t>
  </si>
  <si>
    <t>4. Surgery services are marked Bookable? = No by default because they usually require clinical review before scheduling.</t>
  </si>
  <si>
    <t>5. Prices are intentionally blank so Evolved can enter current pricing manually.</t>
  </si>
  <si>
    <t>6. When final, export or convert this sheet into the approved seed JSON/import format.</t>
  </si>
  <si>
    <t>Services Catalogue Summary</t>
  </si>
  <si>
    <t>Total rows</t>
  </si>
  <si>
    <t>Import = Yes</t>
  </si>
  <si>
    <t>Needs Review</t>
  </si>
  <si>
    <t>Active services</t>
  </si>
  <si>
    <t>Bookable services</t>
  </si>
  <si>
    <t>Blank prices to complete</t>
  </si>
  <si>
    <t>Surgery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</si>
</sst>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0" fontId="2" fillId="0" borderId="0" xfId="0" applyFont="1"/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FDE68A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olvedServicesCatalogue" displayName="EvolvedServicesCatalogue" ref="A1:M32">
  <tableColumns count="13">
    <tableColumn id="1" xr3:uid="{00000000-0010-0000-0000-000001000000}" name="Import?"/>
    <tableColumn id="2" xr3:uid="{00000000-0010-0000-0000-000002000000}" name="Service Name"/>
    <tableColumn id="3" xr3:uid="{00000000-0010-0000-0000-000003000000}" name="FI Category"/>
    <tableColumn id="4" xr3:uid="{00000000-0010-0000-0000-000004000000}" name="Booking Type"/>
    <tableColumn id="5" xr3:uid="{00000000-0010-0000-0000-000005000000}" name="Suggested Duration (mins)"/>
    <tableColumn id="6" xr3:uid="{00000000-0010-0000-0000-000006000000}" name="Base Price AUD"/>
    <tableColumn id="7" xr3:uid="{00000000-0010-0000-0000-000007000000}" name="GST Included?"/>
    <tableColumn id="8" xr3:uid="{00000000-0010-0000-0000-000008000000}" name="Colour"/>
    <tableColumn id="9" xr3:uid="{00000000-0010-0000-0000-000009000000}" name="Active?"/>
    <tableColumn id="10" xr3:uid="{00000000-0010-0000-0000-00000A000000}" name="Bookable?"/>
    <tableColumn id="11" xr3:uid="{00000000-0010-0000-0000-00000B000000}" name="Staff Type"/>
    <tableColumn id="12" xr3:uid="{00000000-0010-0000-0000-00000C000000}" name="Patient-Facing Name"/>
    <tableColumn id="13" xr3:uid="{00000000-0010-0000-0000-00000D000000}" name="Internal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F31" sqref="F31"/>
    </sheetView>
  </sheetViews>
  <sheetFormatPr defaultRowHeight="14.25"/>
  <cols>
    <col min="1" max="1" width="12" customWidth="1"/>
    <col min="2" max="2" width="30" customWidth="1"/>
    <col min="3" max="3" width="16" customWidth="1"/>
    <col min="4" max="5" width="18" customWidth="1"/>
    <col min="6" max="6" width="16" customWidth="1"/>
    <col min="7" max="7" width="14" customWidth="1"/>
    <col min="8" max="10" width="12" customWidth="1"/>
    <col min="11" max="11" width="24" customWidth="1"/>
    <col min="12" max="12" width="30" customWidth="1"/>
    <col min="13" max="13" width="46" customWidth="1"/>
  </cols>
  <sheetData>
    <row r="1" spans="1:13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8.5">
      <c r="A2" s="4" t="s">
        <v>13</v>
      </c>
      <c r="B2" s="4" t="s">
        <v>14</v>
      </c>
      <c r="C2" s="4" t="s">
        <v>15</v>
      </c>
      <c r="D2" s="4" t="s">
        <v>16</v>
      </c>
      <c r="E2" s="5">
        <v>60</v>
      </c>
      <c r="F2" s="5">
        <v>50</v>
      </c>
      <c r="G2" s="4" t="s">
        <v>13</v>
      </c>
      <c r="H2" s="4" t="s">
        <v>17</v>
      </c>
      <c r="I2" s="4" t="s">
        <v>13</v>
      </c>
      <c r="J2" s="4" t="s">
        <v>13</v>
      </c>
      <c r="K2" s="4" t="s">
        <v>18</v>
      </c>
      <c r="L2" s="4" t="s">
        <v>14</v>
      </c>
      <c r="M2" s="4" t="s">
        <v>19</v>
      </c>
    </row>
    <row r="3" spans="1:13">
      <c r="A3" s="4" t="s">
        <v>13</v>
      </c>
      <c r="B3" s="4" t="s">
        <v>20</v>
      </c>
      <c r="C3" s="4" t="s">
        <v>15</v>
      </c>
      <c r="D3" s="4" t="s">
        <v>16</v>
      </c>
      <c r="E3" s="5">
        <v>30</v>
      </c>
      <c r="F3" s="5">
        <v>0</v>
      </c>
      <c r="G3" s="4" t="s">
        <v>13</v>
      </c>
      <c r="H3" s="4" t="s">
        <v>17</v>
      </c>
      <c r="I3" s="4" t="s">
        <v>13</v>
      </c>
      <c r="J3" s="4" t="s">
        <v>13</v>
      </c>
      <c r="K3" s="4" t="s">
        <v>18</v>
      </c>
      <c r="L3" s="4" t="s">
        <v>20</v>
      </c>
      <c r="M3" s="4" t="s">
        <v>21</v>
      </c>
    </row>
    <row r="4" spans="1:13">
      <c r="A4" s="4" t="s">
        <v>13</v>
      </c>
      <c r="B4" s="4" t="s">
        <v>22</v>
      </c>
      <c r="C4" s="4" t="s">
        <v>15</v>
      </c>
      <c r="D4" s="4" t="s">
        <v>16</v>
      </c>
      <c r="E4" s="5">
        <v>30</v>
      </c>
      <c r="F4" s="5">
        <v>0</v>
      </c>
      <c r="G4" s="4" t="s">
        <v>13</v>
      </c>
      <c r="H4" s="4" t="s">
        <v>17</v>
      </c>
      <c r="I4" s="4" t="s">
        <v>13</v>
      </c>
      <c r="J4" s="4" t="s">
        <v>13</v>
      </c>
      <c r="K4" s="4" t="s">
        <v>23</v>
      </c>
      <c r="L4" s="4" t="s">
        <v>22</v>
      </c>
      <c r="M4" s="4" t="s">
        <v>24</v>
      </c>
    </row>
    <row r="5" spans="1:13" ht="28.5">
      <c r="A5" s="4" t="s">
        <v>13</v>
      </c>
      <c r="B5" s="4" t="s">
        <v>25</v>
      </c>
      <c r="C5" s="4" t="s">
        <v>15</v>
      </c>
      <c r="D5" s="4" t="s">
        <v>16</v>
      </c>
      <c r="E5" s="5">
        <v>30</v>
      </c>
      <c r="F5" s="5">
        <v>25</v>
      </c>
      <c r="G5" s="4" t="s">
        <v>13</v>
      </c>
      <c r="H5" s="4" t="s">
        <v>17</v>
      </c>
      <c r="I5" s="4" t="s">
        <v>13</v>
      </c>
      <c r="J5" s="4" t="s">
        <v>13</v>
      </c>
      <c r="K5" s="4" t="s">
        <v>26</v>
      </c>
      <c r="L5" s="4" t="s">
        <v>25</v>
      </c>
      <c r="M5" s="4" t="s">
        <v>27</v>
      </c>
    </row>
    <row r="6" spans="1:13">
      <c r="A6" s="4" t="s">
        <v>13</v>
      </c>
      <c r="B6" s="4" t="s">
        <v>28</v>
      </c>
      <c r="C6" s="4" t="s">
        <v>29</v>
      </c>
      <c r="D6" s="4" t="s">
        <v>16</v>
      </c>
      <c r="E6" s="5">
        <v>60</v>
      </c>
      <c r="F6" s="5">
        <v>89</v>
      </c>
      <c r="G6" s="4" t="s">
        <v>13</v>
      </c>
      <c r="H6" s="4" t="s">
        <v>30</v>
      </c>
      <c r="I6" s="4" t="s">
        <v>13</v>
      </c>
      <c r="J6" s="4" t="s">
        <v>13</v>
      </c>
      <c r="K6" s="4" t="s">
        <v>31</v>
      </c>
      <c r="L6" s="4" t="s">
        <v>28</v>
      </c>
      <c r="M6" s="4" t="s">
        <v>32</v>
      </c>
    </row>
    <row r="7" spans="1:13">
      <c r="A7" s="4" t="s">
        <v>13</v>
      </c>
      <c r="B7" s="4" t="s">
        <v>33</v>
      </c>
      <c r="C7" s="4" t="s">
        <v>29</v>
      </c>
      <c r="D7" s="4" t="s">
        <v>16</v>
      </c>
      <c r="E7" s="5">
        <v>30</v>
      </c>
      <c r="F7" s="5">
        <v>0</v>
      </c>
      <c r="G7" s="4" t="s">
        <v>13</v>
      </c>
      <c r="H7" s="4" t="s">
        <v>30</v>
      </c>
      <c r="I7" s="4" t="s">
        <v>13</v>
      </c>
      <c r="J7" s="4" t="s">
        <v>13</v>
      </c>
      <c r="K7" s="4" t="s">
        <v>34</v>
      </c>
      <c r="L7" s="4" t="s">
        <v>33</v>
      </c>
      <c r="M7" s="4" t="s">
        <v>35</v>
      </c>
    </row>
    <row r="8" spans="1:13">
      <c r="A8" s="4" t="s">
        <v>13</v>
      </c>
      <c r="B8" s="4" t="s">
        <v>36</v>
      </c>
      <c r="C8" s="4" t="s">
        <v>15</v>
      </c>
      <c r="D8" s="4" t="s">
        <v>16</v>
      </c>
      <c r="E8" s="5">
        <v>30</v>
      </c>
      <c r="F8" s="5">
        <v>140</v>
      </c>
      <c r="G8" s="4" t="s">
        <v>13</v>
      </c>
      <c r="H8" s="4" t="s">
        <v>17</v>
      </c>
      <c r="I8" s="4" t="s">
        <v>13</v>
      </c>
      <c r="J8" s="4" t="s">
        <v>13</v>
      </c>
      <c r="K8" s="4" t="s">
        <v>37</v>
      </c>
      <c r="L8" s="4" t="s">
        <v>36</v>
      </c>
      <c r="M8" s="4" t="s">
        <v>38</v>
      </c>
    </row>
    <row r="9" spans="1:13">
      <c r="A9" s="4" t="s">
        <v>13</v>
      </c>
      <c r="B9" s="4" t="s">
        <v>39</v>
      </c>
      <c r="C9" s="4" t="s">
        <v>40</v>
      </c>
      <c r="D9" s="4" t="s">
        <v>41</v>
      </c>
      <c r="E9" s="5">
        <v>15</v>
      </c>
      <c r="F9" s="5">
        <v>0</v>
      </c>
      <c r="G9" s="4" t="s">
        <v>13</v>
      </c>
      <c r="H9" s="4" t="s">
        <v>42</v>
      </c>
      <c r="I9" s="4" t="s">
        <v>13</v>
      </c>
      <c r="J9" s="4" t="s">
        <v>13</v>
      </c>
      <c r="K9" s="4" t="s">
        <v>43</v>
      </c>
      <c r="L9" s="4" t="s">
        <v>39</v>
      </c>
      <c r="M9" s="4" t="s">
        <v>44</v>
      </c>
    </row>
    <row r="10" spans="1:13">
      <c r="A10" s="4" t="s">
        <v>13</v>
      </c>
      <c r="B10" s="4" t="s">
        <v>45</v>
      </c>
      <c r="C10" s="4" t="s">
        <v>40</v>
      </c>
      <c r="D10" s="4" t="s">
        <v>41</v>
      </c>
      <c r="E10" s="5">
        <v>20</v>
      </c>
      <c r="F10" s="5">
        <v>0</v>
      </c>
      <c r="G10" s="4" t="s">
        <v>13</v>
      </c>
      <c r="H10" s="4" t="s">
        <v>42</v>
      </c>
      <c r="I10" s="4" t="s">
        <v>13</v>
      </c>
      <c r="J10" s="4" t="s">
        <v>13</v>
      </c>
      <c r="K10" s="4" t="s">
        <v>43</v>
      </c>
      <c r="L10" s="4" t="s">
        <v>45</v>
      </c>
      <c r="M10" s="4" t="s">
        <v>46</v>
      </c>
    </row>
    <row r="11" spans="1:13">
      <c r="A11" s="4" t="s">
        <v>13</v>
      </c>
      <c r="B11" s="4" t="s">
        <v>47</v>
      </c>
      <c r="C11" s="4" t="s">
        <v>40</v>
      </c>
      <c r="D11" s="4" t="s">
        <v>41</v>
      </c>
      <c r="E11" s="5">
        <v>30</v>
      </c>
      <c r="F11" s="5">
        <v>0</v>
      </c>
      <c r="G11" s="4" t="s">
        <v>13</v>
      </c>
      <c r="H11" s="4" t="s">
        <v>42</v>
      </c>
      <c r="I11" s="4" t="s">
        <v>13</v>
      </c>
      <c r="J11" s="4" t="s">
        <v>13</v>
      </c>
      <c r="K11" s="4" t="s">
        <v>18</v>
      </c>
      <c r="L11" s="4" t="s">
        <v>47</v>
      </c>
      <c r="M11" s="4" t="s">
        <v>48</v>
      </c>
    </row>
    <row r="12" spans="1:13">
      <c r="A12" s="4" t="s">
        <v>13</v>
      </c>
      <c r="B12" s="4" t="s">
        <v>49</v>
      </c>
      <c r="C12" s="4" t="s">
        <v>40</v>
      </c>
      <c r="D12" s="4" t="s">
        <v>41</v>
      </c>
      <c r="E12" s="5">
        <v>30</v>
      </c>
      <c r="F12" s="5">
        <v>0</v>
      </c>
      <c r="G12" s="4" t="s">
        <v>13</v>
      </c>
      <c r="H12" s="4" t="s">
        <v>42</v>
      </c>
      <c r="I12" s="4" t="s">
        <v>13</v>
      </c>
      <c r="J12" s="4" t="s">
        <v>13</v>
      </c>
      <c r="K12" s="4" t="s">
        <v>18</v>
      </c>
      <c r="L12" s="4" t="s">
        <v>49</v>
      </c>
      <c r="M12" s="4" t="s">
        <v>50</v>
      </c>
    </row>
    <row r="13" spans="1:13">
      <c r="A13" s="4" t="s">
        <v>13</v>
      </c>
      <c r="B13" s="4" t="s">
        <v>51</v>
      </c>
      <c r="C13" s="4" t="s">
        <v>40</v>
      </c>
      <c r="D13" s="4" t="s">
        <v>41</v>
      </c>
      <c r="E13" s="5">
        <v>30</v>
      </c>
      <c r="F13" s="5">
        <v>0</v>
      </c>
      <c r="G13" s="4" t="s">
        <v>13</v>
      </c>
      <c r="H13" s="4" t="s">
        <v>42</v>
      </c>
      <c r="I13" s="4" t="s">
        <v>13</v>
      </c>
      <c r="J13" s="4" t="s">
        <v>13</v>
      </c>
      <c r="K13" s="4" t="s">
        <v>18</v>
      </c>
      <c r="L13" s="4" t="s">
        <v>51</v>
      </c>
      <c r="M13" s="4" t="s">
        <v>52</v>
      </c>
    </row>
    <row r="14" spans="1:13">
      <c r="A14" s="4" t="s">
        <v>13</v>
      </c>
      <c r="B14" s="4" t="s">
        <v>53</v>
      </c>
      <c r="C14" s="4" t="s">
        <v>40</v>
      </c>
      <c r="D14" s="4" t="s">
        <v>41</v>
      </c>
      <c r="E14" s="5">
        <v>45</v>
      </c>
      <c r="F14" s="5">
        <v>0</v>
      </c>
      <c r="G14" s="4" t="s">
        <v>13</v>
      </c>
      <c r="H14" s="4" t="s">
        <v>42</v>
      </c>
      <c r="I14" s="4" t="s">
        <v>13</v>
      </c>
      <c r="J14" s="4" t="s">
        <v>13</v>
      </c>
      <c r="K14" s="4" t="s">
        <v>18</v>
      </c>
      <c r="L14" s="4" t="s">
        <v>53</v>
      </c>
      <c r="M14" s="4" t="s">
        <v>54</v>
      </c>
    </row>
    <row r="15" spans="1:13">
      <c r="A15" s="4" t="s">
        <v>13</v>
      </c>
      <c r="B15" s="4" t="s">
        <v>55</v>
      </c>
      <c r="C15" s="4" t="s">
        <v>40</v>
      </c>
      <c r="D15" s="4" t="s">
        <v>41</v>
      </c>
      <c r="E15" s="5">
        <v>45</v>
      </c>
      <c r="F15" s="5">
        <v>0</v>
      </c>
      <c r="G15" s="4" t="s">
        <v>13</v>
      </c>
      <c r="H15" s="4" t="s">
        <v>42</v>
      </c>
      <c r="I15" s="4" t="s">
        <v>13</v>
      </c>
      <c r="J15" s="4" t="s">
        <v>13</v>
      </c>
      <c r="K15" s="4" t="s">
        <v>18</v>
      </c>
      <c r="L15" s="4" t="s">
        <v>55</v>
      </c>
      <c r="M15" s="4" t="s">
        <v>56</v>
      </c>
    </row>
    <row r="16" spans="1:13">
      <c r="A16" s="4" t="s">
        <v>13</v>
      </c>
      <c r="B16" s="4" t="s">
        <v>57</v>
      </c>
      <c r="C16" s="4" t="s">
        <v>58</v>
      </c>
      <c r="D16" s="4" t="s">
        <v>59</v>
      </c>
      <c r="E16" s="5">
        <v>45</v>
      </c>
      <c r="F16" s="5">
        <v>320</v>
      </c>
      <c r="G16" s="4" t="s">
        <v>13</v>
      </c>
      <c r="H16" s="4" t="s">
        <v>60</v>
      </c>
      <c r="I16" s="4" t="s">
        <v>13</v>
      </c>
      <c r="J16" s="4" t="s">
        <v>13</v>
      </c>
      <c r="K16" s="4" t="s">
        <v>61</v>
      </c>
      <c r="L16" s="4" t="s">
        <v>57</v>
      </c>
      <c r="M16" s="4" t="s">
        <v>62</v>
      </c>
    </row>
    <row r="17" spans="1:13" ht="28.5">
      <c r="A17" s="4" t="s">
        <v>13</v>
      </c>
      <c r="B17" s="4" t="s">
        <v>63</v>
      </c>
      <c r="C17" s="4" t="s">
        <v>58</v>
      </c>
      <c r="D17" s="4" t="s">
        <v>59</v>
      </c>
      <c r="E17" s="5">
        <v>45</v>
      </c>
      <c r="F17" s="5">
        <v>860</v>
      </c>
      <c r="G17" s="4" t="s">
        <v>13</v>
      </c>
      <c r="H17" s="4" t="s">
        <v>60</v>
      </c>
      <c r="I17" s="4" t="s">
        <v>13</v>
      </c>
      <c r="J17" s="4" t="s">
        <v>13</v>
      </c>
      <c r="K17" s="4" t="s">
        <v>61</v>
      </c>
      <c r="L17" s="4" t="s">
        <v>63</v>
      </c>
      <c r="M17" s="4" t="s">
        <v>64</v>
      </c>
    </row>
    <row r="18" spans="1:13" ht="28.5">
      <c r="A18" s="4" t="s">
        <v>13</v>
      </c>
      <c r="B18" s="4" t="s">
        <v>65</v>
      </c>
      <c r="C18" s="4" t="s">
        <v>58</v>
      </c>
      <c r="D18" s="4" t="s">
        <v>59</v>
      </c>
      <c r="E18" s="5">
        <v>45</v>
      </c>
      <c r="F18" s="5">
        <v>1500</v>
      </c>
      <c r="G18" s="4" t="s">
        <v>13</v>
      </c>
      <c r="H18" s="4" t="s">
        <v>60</v>
      </c>
      <c r="I18" s="4" t="s">
        <v>13</v>
      </c>
      <c r="J18" s="4" t="s">
        <v>13</v>
      </c>
      <c r="K18" s="4" t="s">
        <v>61</v>
      </c>
      <c r="L18" s="4" t="s">
        <v>65</v>
      </c>
      <c r="M18" s="4" t="s">
        <v>64</v>
      </c>
    </row>
    <row r="19" spans="1:13">
      <c r="A19" s="4" t="s">
        <v>13</v>
      </c>
      <c r="B19" s="4" t="s">
        <v>66</v>
      </c>
      <c r="C19" s="4" t="s">
        <v>58</v>
      </c>
      <c r="D19" s="4" t="s">
        <v>67</v>
      </c>
      <c r="E19" s="5">
        <v>60</v>
      </c>
      <c r="F19" s="5">
        <v>400</v>
      </c>
      <c r="G19" s="4" t="s">
        <v>13</v>
      </c>
      <c r="H19" s="4" t="s">
        <v>60</v>
      </c>
      <c r="I19" s="4" t="s">
        <v>13</v>
      </c>
      <c r="J19" s="4" t="s">
        <v>13</v>
      </c>
      <c r="K19" s="4" t="s">
        <v>61</v>
      </c>
      <c r="L19" s="4" t="s">
        <v>66</v>
      </c>
      <c r="M19" s="4" t="s">
        <v>68</v>
      </c>
    </row>
    <row r="20" spans="1:13">
      <c r="A20" s="4" t="s">
        <v>13</v>
      </c>
      <c r="B20" s="4" t="s">
        <v>69</v>
      </c>
      <c r="C20" s="4" t="s">
        <v>58</v>
      </c>
      <c r="D20" s="4" t="s">
        <v>70</v>
      </c>
      <c r="E20" s="5">
        <v>45</v>
      </c>
      <c r="F20" s="5">
        <v>450</v>
      </c>
      <c r="G20" s="4" t="s">
        <v>13</v>
      </c>
      <c r="H20" s="4" t="s">
        <v>71</v>
      </c>
      <c r="I20" s="4" t="s">
        <v>13</v>
      </c>
      <c r="J20" s="4" t="s">
        <v>13</v>
      </c>
      <c r="K20" s="4" t="s">
        <v>26</v>
      </c>
      <c r="L20" s="4" t="s">
        <v>69</v>
      </c>
      <c r="M20" s="4" t="s">
        <v>72</v>
      </c>
    </row>
    <row r="21" spans="1:13">
      <c r="A21" s="4" t="s">
        <v>13</v>
      </c>
      <c r="B21" s="4" t="s">
        <v>73</v>
      </c>
      <c r="C21" s="4" t="s">
        <v>58</v>
      </c>
      <c r="D21" s="4" t="s">
        <v>74</v>
      </c>
      <c r="E21" s="5">
        <v>45</v>
      </c>
      <c r="F21" s="5">
        <v>320</v>
      </c>
      <c r="G21" s="4" t="s">
        <v>13</v>
      </c>
      <c r="H21" s="4" t="s">
        <v>71</v>
      </c>
      <c r="I21" s="4" t="s">
        <v>13</v>
      </c>
      <c r="J21" s="4" t="s">
        <v>13</v>
      </c>
      <c r="K21" s="4" t="s">
        <v>61</v>
      </c>
      <c r="L21" s="4" t="s">
        <v>73</v>
      </c>
      <c r="M21" s="4" t="s">
        <v>75</v>
      </c>
    </row>
    <row r="22" spans="1:13" ht="28.5">
      <c r="A22" s="4" t="s">
        <v>13</v>
      </c>
      <c r="B22" s="4" t="s">
        <v>76</v>
      </c>
      <c r="C22" s="4" t="s">
        <v>58</v>
      </c>
      <c r="D22" s="4" t="s">
        <v>74</v>
      </c>
      <c r="E22" s="5">
        <v>45</v>
      </c>
      <c r="F22" s="5">
        <v>200</v>
      </c>
      <c r="G22" s="4" t="s">
        <v>13</v>
      </c>
      <c r="H22" s="4" t="s">
        <v>71</v>
      </c>
      <c r="I22" s="4" t="s">
        <v>13</v>
      </c>
      <c r="J22" s="4" t="s">
        <v>13</v>
      </c>
      <c r="K22" s="4" t="s">
        <v>77</v>
      </c>
      <c r="L22" s="4" t="s">
        <v>76</v>
      </c>
      <c r="M22" s="4" t="s">
        <v>78</v>
      </c>
    </row>
    <row r="23" spans="1:13">
      <c r="A23" s="4" t="s">
        <v>13</v>
      </c>
      <c r="B23" s="4" t="s">
        <v>79</v>
      </c>
      <c r="C23" s="4" t="s">
        <v>58</v>
      </c>
      <c r="D23" s="4" t="s">
        <v>80</v>
      </c>
      <c r="E23" s="5">
        <v>30</v>
      </c>
      <c r="F23" s="5">
        <v>20</v>
      </c>
      <c r="G23" s="4" t="s">
        <v>13</v>
      </c>
      <c r="H23" s="4" t="s">
        <v>81</v>
      </c>
      <c r="I23" s="4" t="s">
        <v>13</v>
      </c>
      <c r="J23" s="4" t="s">
        <v>13</v>
      </c>
      <c r="K23" s="4" t="s">
        <v>82</v>
      </c>
      <c r="L23" s="4" t="s">
        <v>79</v>
      </c>
      <c r="M23" s="4" t="s">
        <v>83</v>
      </c>
    </row>
    <row r="24" spans="1:13">
      <c r="A24" s="4" t="s">
        <v>13</v>
      </c>
      <c r="B24" s="4" t="s">
        <v>84</v>
      </c>
      <c r="C24" s="4" t="s">
        <v>85</v>
      </c>
      <c r="D24" s="4" t="s">
        <v>86</v>
      </c>
      <c r="E24" s="5">
        <v>480</v>
      </c>
      <c r="F24" s="5">
        <v>12000</v>
      </c>
      <c r="G24" s="4" t="s">
        <v>13</v>
      </c>
      <c r="H24" s="4" t="s">
        <v>87</v>
      </c>
      <c r="I24" s="4" t="s">
        <v>13</v>
      </c>
      <c r="J24" s="4" t="s">
        <v>88</v>
      </c>
      <c r="K24" s="4" t="s">
        <v>89</v>
      </c>
      <c r="L24" s="4" t="s">
        <v>84</v>
      </c>
      <c r="M24" s="4" t="s">
        <v>90</v>
      </c>
    </row>
    <row r="25" spans="1:13" ht="28.5">
      <c r="A25" s="4" t="s">
        <v>13</v>
      </c>
      <c r="B25" s="4" t="s">
        <v>91</v>
      </c>
      <c r="C25" s="4" t="s">
        <v>85</v>
      </c>
      <c r="D25" s="4" t="s">
        <v>86</v>
      </c>
      <c r="E25" s="5">
        <v>960</v>
      </c>
      <c r="F25" s="5">
        <v>17000</v>
      </c>
      <c r="G25" s="4" t="s">
        <v>13</v>
      </c>
      <c r="H25" s="4" t="s">
        <v>87</v>
      </c>
      <c r="I25" s="4" t="s">
        <v>13</v>
      </c>
      <c r="J25" s="4" t="s">
        <v>88</v>
      </c>
      <c r="K25" s="4" t="s">
        <v>89</v>
      </c>
      <c r="L25" s="4" t="s">
        <v>91</v>
      </c>
      <c r="M25" s="4" t="s">
        <v>92</v>
      </c>
    </row>
    <row r="26" spans="1:13">
      <c r="A26" s="4" t="s">
        <v>13</v>
      </c>
      <c r="B26" s="4" t="s">
        <v>93</v>
      </c>
      <c r="C26" s="4" t="s">
        <v>85</v>
      </c>
      <c r="D26" s="4" t="s">
        <v>86</v>
      </c>
      <c r="E26" s="5">
        <v>240</v>
      </c>
      <c r="F26" s="5">
        <v>500</v>
      </c>
      <c r="G26" s="4" t="s">
        <v>13</v>
      </c>
      <c r="H26" s="4" t="s">
        <v>87</v>
      </c>
      <c r="I26" s="4" t="s">
        <v>13</v>
      </c>
      <c r="J26" s="4" t="s">
        <v>88</v>
      </c>
      <c r="K26" s="4" t="s">
        <v>89</v>
      </c>
      <c r="L26" s="4" t="s">
        <v>93</v>
      </c>
      <c r="M26" s="4" t="s">
        <v>94</v>
      </c>
    </row>
    <row r="27" spans="1:13">
      <c r="A27" s="4" t="s">
        <v>13</v>
      </c>
      <c r="B27" s="4" t="s">
        <v>95</v>
      </c>
      <c r="C27" s="4" t="s">
        <v>85</v>
      </c>
      <c r="D27" s="4" t="s">
        <v>86</v>
      </c>
      <c r="E27" s="5">
        <v>360</v>
      </c>
      <c r="F27" s="5">
        <v>5500</v>
      </c>
      <c r="G27" s="4" t="s">
        <v>13</v>
      </c>
      <c r="H27" s="4" t="s">
        <v>87</v>
      </c>
      <c r="I27" s="4" t="s">
        <v>13</v>
      </c>
      <c r="J27" s="4" t="s">
        <v>88</v>
      </c>
      <c r="K27" s="4" t="s">
        <v>89</v>
      </c>
      <c r="L27" s="4" t="s">
        <v>95</v>
      </c>
      <c r="M27" s="4" t="s">
        <v>96</v>
      </c>
    </row>
    <row r="28" spans="1:13">
      <c r="A28" s="4" t="s">
        <v>13</v>
      </c>
      <c r="B28" s="4" t="s">
        <v>97</v>
      </c>
      <c r="C28" s="4" t="s">
        <v>85</v>
      </c>
      <c r="D28" s="4" t="s">
        <v>86</v>
      </c>
      <c r="E28" s="5">
        <v>420</v>
      </c>
      <c r="F28" s="5">
        <v>8000</v>
      </c>
      <c r="G28" s="4" t="s">
        <v>13</v>
      </c>
      <c r="H28" s="4" t="s">
        <v>87</v>
      </c>
      <c r="I28" s="4" t="s">
        <v>13</v>
      </c>
      <c r="J28" s="4" t="s">
        <v>88</v>
      </c>
      <c r="K28" s="4" t="s">
        <v>89</v>
      </c>
      <c r="L28" s="4" t="s">
        <v>97</v>
      </c>
      <c r="M28" s="4" t="s">
        <v>98</v>
      </c>
    </row>
    <row r="29" spans="1:13" ht="28.5">
      <c r="A29" s="4" t="s">
        <v>13</v>
      </c>
      <c r="B29" s="4" t="s">
        <v>99</v>
      </c>
      <c r="C29" s="4" t="s">
        <v>15</v>
      </c>
      <c r="D29" s="4" t="s">
        <v>16</v>
      </c>
      <c r="E29" s="5">
        <v>60</v>
      </c>
      <c r="F29" s="5">
        <v>0</v>
      </c>
      <c r="G29" s="4" t="s">
        <v>13</v>
      </c>
      <c r="H29" s="4" t="s">
        <v>17</v>
      </c>
      <c r="I29" s="4" t="s">
        <v>13</v>
      </c>
      <c r="J29" s="4" t="s">
        <v>13</v>
      </c>
      <c r="K29" s="4" t="s">
        <v>18</v>
      </c>
      <c r="L29" s="4" t="s">
        <v>99</v>
      </c>
      <c r="M29" s="4" t="s">
        <v>100</v>
      </c>
    </row>
    <row r="30" spans="1:13">
      <c r="A30" s="4" t="s">
        <v>13</v>
      </c>
      <c r="B30" s="4" t="s">
        <v>101</v>
      </c>
      <c r="C30" s="4" t="s">
        <v>85</v>
      </c>
      <c r="D30" s="4" t="s">
        <v>86</v>
      </c>
      <c r="E30" s="5">
        <v>480</v>
      </c>
      <c r="F30" s="5">
        <v>0</v>
      </c>
      <c r="G30" s="4" t="s">
        <v>13</v>
      </c>
      <c r="H30" s="4" t="s">
        <v>87</v>
      </c>
      <c r="I30" s="4" t="s">
        <v>13</v>
      </c>
      <c r="J30" s="4" t="s">
        <v>88</v>
      </c>
      <c r="K30" s="4" t="s">
        <v>89</v>
      </c>
      <c r="L30" s="4" t="s">
        <v>101</v>
      </c>
      <c r="M30" s="4" t="s">
        <v>102</v>
      </c>
    </row>
    <row r="31" spans="1:13" ht="28.5">
      <c r="A31" s="4" t="s">
        <v>103</v>
      </c>
      <c r="B31" s="4" t="s">
        <v>104</v>
      </c>
      <c r="C31" s="4" t="s">
        <v>105</v>
      </c>
      <c r="D31" s="4"/>
      <c r="E31" s="5">
        <v>0</v>
      </c>
      <c r="F31" s="5"/>
      <c r="G31" s="4" t="s">
        <v>13</v>
      </c>
      <c r="H31" s="4" t="s">
        <v>106</v>
      </c>
      <c r="I31" s="4" t="s">
        <v>88</v>
      </c>
      <c r="J31" s="4" t="s">
        <v>88</v>
      </c>
      <c r="K31" s="4" t="s">
        <v>107</v>
      </c>
      <c r="L31" s="4" t="s">
        <v>104</v>
      </c>
      <c r="M31" s="4" t="s">
        <v>108</v>
      </c>
    </row>
    <row r="32" spans="1:13" ht="28.5">
      <c r="A32" s="4" t="s">
        <v>103</v>
      </c>
      <c r="B32" s="4" t="s">
        <v>109</v>
      </c>
      <c r="C32" s="4" t="s">
        <v>105</v>
      </c>
      <c r="D32" s="4"/>
      <c r="E32" s="5">
        <v>0</v>
      </c>
      <c r="F32" s="5"/>
      <c r="G32" s="4" t="s">
        <v>13</v>
      </c>
      <c r="H32" s="4" t="s">
        <v>106</v>
      </c>
      <c r="I32" s="4" t="s">
        <v>88</v>
      </c>
      <c r="J32" s="4" t="s">
        <v>88</v>
      </c>
      <c r="K32" s="4" t="s">
        <v>107</v>
      </c>
      <c r="L32" s="4" t="s">
        <v>109</v>
      </c>
      <c r="M32" s="4" t="s">
        <v>110</v>
      </c>
    </row>
  </sheetData>
  <conditionalFormatting sqref="A2:A32">
    <cfRule type="expression" dxfId="2" priority="1">
      <formula>$A2="Review"</formula>
    </cfRule>
    <cfRule type="expression" dxfId="1" priority="2">
      <formula>$A2="No"</formula>
    </cfRule>
  </conditionalFormatting>
  <conditionalFormatting sqref="F2:F32">
    <cfRule type="expression" dxfId="0" priority="3">
      <formula>AND($A2="Yes",$F2="")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Lookups!$D$2:$D$4</xm:f>
          </x14:formula1>
          <xm:sqref>A2:A32</xm:sqref>
        </x14:dataValidation>
        <x14:dataValidation type="list" xr:uid="{00000000-0002-0000-0000-000001000000}">
          <x14:formula1>
            <xm:f>Lookups!$A$2:$A$7</xm:f>
          </x14:formula1>
          <xm:sqref>C2:C32</xm:sqref>
        </x14:dataValidation>
        <x14:dataValidation type="list" xr:uid="{00000000-0002-0000-0000-000002000000}">
          <x14:formula1>
            <xm:f>Lookups!$B$2:$B$10</xm:f>
          </x14:formula1>
          <xm:sqref>D2:D32</xm:sqref>
        </x14:dataValidation>
        <x14:dataValidation type="list" xr:uid="{00000000-0002-0000-0000-000003000000}">
          <x14:formula1>
            <xm:f>Lookups!$C$2:$C$3</xm:f>
          </x14:formula1>
          <xm:sqref>G2:G32 I2:J32</xm:sqref>
        </x14:dataValidation>
        <x14:dataValidation type="list" xr:uid="{00000000-0002-0000-0000-000005000000}">
          <x14:formula1>
            <xm:f>Lookups!$E$2:$E$11</xm:f>
          </x14:formula1>
          <xm:sqref>K2:K32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.25"/>
  <cols>
    <col min="1" max="5" width="28" customWidth="1"/>
  </cols>
  <sheetData>
    <row r="1" spans="1:5" ht="15">
      <c r="A1" s="7" t="s">
        <v>2</v>
      </c>
      <c r="B1" s="7" t="s">
        <v>3</v>
      </c>
      <c r="C1" s="7" t="s">
        <v>111</v>
      </c>
      <c r="D1" s="7" t="s">
        <v>112</v>
      </c>
      <c r="E1" s="7" t="s">
        <v>10</v>
      </c>
    </row>
    <row r="2" spans="1:5">
      <c r="A2" s="3" t="s">
        <v>15</v>
      </c>
      <c r="B2" s="3" t="s">
        <v>16</v>
      </c>
      <c r="C2" s="3" t="s">
        <v>13</v>
      </c>
      <c r="D2" s="3" t="s">
        <v>13</v>
      </c>
      <c r="E2" s="3" t="s">
        <v>18</v>
      </c>
    </row>
    <row r="3" spans="1:5">
      <c r="A3" s="3" t="s">
        <v>58</v>
      </c>
      <c r="B3" s="3" t="s">
        <v>59</v>
      </c>
      <c r="C3" s="3" t="s">
        <v>88</v>
      </c>
      <c r="D3" s="3" t="s">
        <v>88</v>
      </c>
      <c r="E3" s="3" t="s">
        <v>61</v>
      </c>
    </row>
    <row r="4" spans="1:5">
      <c r="A4" s="3" t="s">
        <v>85</v>
      </c>
      <c r="B4" s="3" t="s">
        <v>86</v>
      </c>
      <c r="C4" s="3"/>
      <c r="D4" s="3" t="s">
        <v>103</v>
      </c>
      <c r="E4" s="3" t="s">
        <v>37</v>
      </c>
    </row>
    <row r="5" spans="1:5">
      <c r="A5" s="3" t="s">
        <v>40</v>
      </c>
      <c r="B5" s="3" t="s">
        <v>41</v>
      </c>
      <c r="C5" s="3"/>
      <c r="D5" s="3"/>
      <c r="E5" s="3" t="s">
        <v>89</v>
      </c>
    </row>
    <row r="6" spans="1:5">
      <c r="A6" s="3" t="s">
        <v>29</v>
      </c>
      <c r="B6" s="3" t="s">
        <v>113</v>
      </c>
      <c r="C6" s="3"/>
      <c r="D6" s="3"/>
      <c r="E6" s="3" t="s">
        <v>82</v>
      </c>
    </row>
    <row r="7" spans="1:5">
      <c r="A7" s="3" t="s">
        <v>105</v>
      </c>
      <c r="B7" s="3" t="s">
        <v>70</v>
      </c>
      <c r="C7" s="3"/>
      <c r="D7" s="3"/>
      <c r="E7" s="3" t="s">
        <v>107</v>
      </c>
    </row>
    <row r="8" spans="1:5">
      <c r="A8" s="3"/>
      <c r="B8" s="3" t="s">
        <v>74</v>
      </c>
      <c r="C8" s="3"/>
      <c r="D8" s="3"/>
      <c r="E8" s="3" t="s">
        <v>31</v>
      </c>
    </row>
    <row r="9" spans="1:5">
      <c r="A9" s="3"/>
      <c r="B9" s="3" t="s">
        <v>67</v>
      </c>
      <c r="C9" s="3"/>
      <c r="D9" s="3"/>
      <c r="E9" s="3" t="s">
        <v>114</v>
      </c>
    </row>
    <row r="10" spans="1:5">
      <c r="A10" s="3"/>
      <c r="B10" s="3" t="s">
        <v>80</v>
      </c>
      <c r="C10" s="3"/>
      <c r="D10" s="3"/>
      <c r="E10" s="3" t="s">
        <v>23</v>
      </c>
    </row>
    <row r="11" spans="1:5">
      <c r="A11" s="3"/>
      <c r="B11" s="3"/>
      <c r="C11" s="3"/>
      <c r="D11" s="3"/>
      <c r="E11" s="3" t="s">
        <v>26</v>
      </c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4.25"/>
  <cols>
    <col min="1" max="5" width="28" customWidth="1"/>
  </cols>
  <sheetData>
    <row r="1" spans="1:5" ht="30">
      <c r="A1" s="7" t="s">
        <v>115</v>
      </c>
      <c r="B1" s="7"/>
      <c r="C1" s="7"/>
      <c r="D1" s="7"/>
      <c r="E1" s="7"/>
    </row>
    <row r="2" spans="1:5">
      <c r="A2" s="3"/>
      <c r="B2" s="3"/>
      <c r="C2" s="3"/>
      <c r="D2" s="3"/>
      <c r="E2" s="3"/>
    </row>
    <row r="3" spans="1:5">
      <c r="A3" s="3" t="s">
        <v>116</v>
      </c>
      <c r="B3" s="3"/>
      <c r="C3" s="3"/>
      <c r="D3" s="3"/>
      <c r="E3" s="3"/>
    </row>
    <row r="4" spans="1:5" ht="57">
      <c r="A4" s="3" t="s">
        <v>117</v>
      </c>
      <c r="B4" s="3"/>
      <c r="C4" s="3"/>
      <c r="D4" s="3"/>
      <c r="E4" s="3"/>
    </row>
    <row r="5" spans="1:5" ht="57">
      <c r="A5" s="3" t="s">
        <v>118</v>
      </c>
      <c r="B5" s="3"/>
      <c r="C5" s="3"/>
      <c r="D5" s="3"/>
      <c r="E5" s="3"/>
    </row>
    <row r="6" spans="1:5" ht="57">
      <c r="A6" s="3" t="s">
        <v>119</v>
      </c>
      <c r="B6" s="3"/>
      <c r="C6" s="3"/>
      <c r="D6" s="3"/>
      <c r="E6" s="3"/>
    </row>
    <row r="7" spans="1:5" ht="57">
      <c r="A7" s="3" t="s">
        <v>120</v>
      </c>
      <c r="B7" s="3"/>
      <c r="C7" s="3"/>
      <c r="D7" s="3"/>
      <c r="E7" s="3"/>
    </row>
    <row r="8" spans="1:5" ht="42.75">
      <c r="A8" s="3" t="s">
        <v>121</v>
      </c>
      <c r="B8" s="3"/>
      <c r="C8" s="3"/>
      <c r="D8" s="3"/>
      <c r="E8" s="3"/>
    </row>
    <row r="9" spans="1:5" ht="42.75">
      <c r="A9" s="3" t="s">
        <v>122</v>
      </c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25"/>
  <cols>
    <col min="1" max="2" width="28" customWidth="1"/>
  </cols>
  <sheetData>
    <row r="1" spans="1:2" ht="15">
      <c r="A1" s="1" t="s">
        <v>123</v>
      </c>
      <c r="B1" s="1"/>
    </row>
    <row r="3" spans="1:2" ht="15">
      <c r="A3" s="6" t="s">
        <v>124</v>
      </c>
      <c r="B3">
        <f>COUNTA('Services Catalogue'!B2:B32)</f>
        <v>31</v>
      </c>
    </row>
    <row r="4" spans="1:2" ht="15">
      <c r="A4" s="6" t="s">
        <v>125</v>
      </c>
      <c r="B4">
        <f>COUNTIF('Services Catalogue'!A2:A32,"Yes")</f>
        <v>29</v>
      </c>
    </row>
    <row r="5" spans="1:2" ht="15">
      <c r="A5" s="6" t="s">
        <v>126</v>
      </c>
      <c r="B5">
        <f>COUNTIF('Services Catalogue'!A2:A32,"Review")</f>
        <v>2</v>
      </c>
    </row>
    <row r="6" spans="1:2" ht="15">
      <c r="A6" s="6" t="s">
        <v>127</v>
      </c>
      <c r="B6">
        <f>COUNTIF('Services Catalogue'!I2:I32,"Yes")</f>
        <v>29</v>
      </c>
    </row>
    <row r="7" spans="1:2" ht="15">
      <c r="A7" s="6" t="s">
        <v>128</v>
      </c>
      <c r="B7">
        <f>COUNTIF('Services Catalogue'!J2:J32,"Yes")</f>
        <v>23</v>
      </c>
    </row>
    <row r="8" spans="1:2" ht="15">
      <c r="A8" s="6" t="s">
        <v>129</v>
      </c>
      <c r="B8">
        <f>COUNTBLANK('Services Catalogue'!F2:F32)</f>
        <v>2</v>
      </c>
    </row>
    <row r="9" spans="1:2" ht="15">
      <c r="A9" s="6" t="s">
        <v>130</v>
      </c>
      <c r="B9">
        <f>COUNTIF('Services Catalogue'!C2:C32,"Surgery")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Services Catalogue</vt:lpstr>
      <vt:lpstr>Lookups</vt:lpstr>
      <vt:lpstr>Instructions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Green</cp:lastModifiedBy>
  <dcterms:modified xsi:type="dcterms:W3CDTF">2026-06-07T22:49:11Z</dcterms:modified>
</cp:coreProperties>
</file>